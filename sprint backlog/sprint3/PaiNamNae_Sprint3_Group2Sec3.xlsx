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gk\Downloads\"/>
    </mc:Choice>
  </mc:AlternateContent>
  <xr:revisionPtr revIDLastSave="0" documentId="13_ncr:1_{E2F2E5FC-7827-40E0-BF79-54C74AAE2F41}" xr6:coauthVersionLast="47" xr6:coauthVersionMax="47" xr10:uidLastSave="{00000000-0000-0000-0000-000000000000}"/>
  <bookViews>
    <workbookView xWindow="-120" yWindow="-120" windowWidth="29040" windowHeight="15720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M45" i="1"/>
  <c r="M46" i="1"/>
  <c r="M47" i="1"/>
  <c r="M48" i="1"/>
  <c r="M50" i="1"/>
  <c r="M51" i="1"/>
  <c r="M52" i="1"/>
  <c r="M53" i="1"/>
  <c r="M54" i="1"/>
  <c r="M55" i="1"/>
  <c r="M56" i="1"/>
  <c r="M57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7" i="1"/>
  <c r="M8" i="1"/>
  <c r="M9" i="1"/>
  <c r="M10" i="1"/>
  <c r="M11" i="1"/>
  <c r="M12" i="1"/>
  <c r="M13" i="1"/>
  <c r="M14" i="1"/>
  <c r="M15" i="1"/>
  <c r="M16" i="1"/>
  <c r="M17" i="1"/>
  <c r="M18" i="1"/>
  <c r="M6" i="1"/>
</calcChain>
</file>

<file path=xl/sharedStrings.xml><?xml version="1.0" encoding="utf-8"?>
<sst xmlns="http://schemas.openxmlformats.org/spreadsheetml/2006/main" count="121" uniqueCount="62">
  <si>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</si>
  <si>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</si>
  <si>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</si>
  <si>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</si>
  <si>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</si>
  <si>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</si>
  <si>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 xml:space="preserve">***หมายเหตุ: กำหนดให้แต่ละ Sprint มีความยาว 1 สัปดาห์ (7 วัน) เท่ากัน </t>
  </si>
  <si>
    <t>ออกแบบและเพิ่ม Model Incident (Report Management Setup)</t>
  </si>
  <si>
    <t>สร้าง API สำหรับ Incident (CRUD + Admin Update)</t>
  </si>
  <si>
    <t xml:space="preserve">ผูก Notification เมื่อ Admin อัปเดตสถานะ  </t>
  </si>
  <si>
    <t xml:space="preserve">สร้างหน้า Admin Incident Dashboard      </t>
  </si>
  <si>
    <t>หน้า My Reports (User ติดตามสถานะ)</t>
  </si>
  <si>
    <t xml:space="preserve">ผูก Notification UI กับ Incident  </t>
  </si>
  <si>
    <t>API Testing</t>
  </si>
  <si>
    <t>Actual Time</t>
  </si>
  <si>
    <t>Volunteer</t>
  </si>
  <si>
    <t>Setting + Deploy Server</t>
  </si>
  <si>
    <t>นายภูชิต จำปาชน</t>
  </si>
  <si>
    <t xml:space="preserve">นายพงศ์วิรัญจ์ จันทะฟอง </t>
  </si>
  <si>
    <t>A-DAPT Blueprint</t>
  </si>
  <si>
    <t>นายศุภกฤต สังข์มณีวงศ์</t>
  </si>
  <si>
    <t xml:space="preserve">User manual &amp; Change log </t>
  </si>
  <si>
    <t>นายธนารักษ์ ทรัพย์สิริชล</t>
  </si>
  <si>
    <t>นายกิตติพศ สวัสดิไชย</t>
  </si>
  <si>
    <t>นางสาวณิชากานต์ คนกลาง</t>
  </si>
  <si>
    <t>นายธรรมพล สาผิว</t>
  </si>
  <si>
    <t xml:space="preserve">ทดสอบการใช้งานผ่าน URL ที่ได้รับ </t>
  </si>
  <si>
    <t>Test ทั้งหมดและ Test Report</t>
  </si>
  <si>
    <t>Burn down charts:</t>
  </si>
  <si>
    <t>Remaining effort (Hour)</t>
  </si>
  <si>
    <t>Day</t>
  </si>
  <si>
    <t>ออกแบบ Incident Report Database Schema (Driver Incident Table)</t>
  </si>
  <si>
    <t>สร้างหน้า UI Report Incident Form</t>
  </si>
  <si>
    <t>สร้าง API ดึงรายการ Incident ของ driver (My Incidents)</t>
  </si>
  <si>
    <t>สร้างหน้า Incident Detail + Status Timeline</t>
  </si>
  <si>
    <t>สร้างหน้าแสดงสถานะ (Pending / In progress / Resolved / Rejected)</t>
  </si>
  <si>
    <t>แสดง Notification บน UI</t>
  </si>
  <si>
    <t>Test ทั้งหมด และ Test Report</t>
  </si>
  <si>
    <t>User manual</t>
  </si>
  <si>
    <t xml:space="preserve">Change log </t>
  </si>
  <si>
    <t>Deploy + UAT</t>
  </si>
  <si>
    <t>6) As an admin, I want to keep the users updated on their reported incidents.</t>
  </si>
  <si>
    <t>11) As a driver, I want to report incidents to the admin and get the update on the filed case.</t>
  </si>
  <si>
    <t>13) As a passenger, I want to report the driver behavior to the admin and get the update on the filed case.</t>
  </si>
  <si>
    <t>สร้างหน้า UI Report Driver Behavior Form</t>
  </si>
  <si>
    <t>สร้างหน้า Complaint Detail + Status Timeline</t>
  </si>
  <si>
    <t>แสดง Address จากพิกัด</t>
  </si>
  <si>
    <t>เพิ่ม Auto-detect current location (Geo-location API)</t>
  </si>
  <si>
    <t>สร้าง Map Picker สำหรับเลือกตำแหน่งเหตุการณ์</t>
  </si>
  <si>
    <t>แก้ไขปรับปรุง Incident Detail + Update Status</t>
  </si>
  <si>
    <t>Sprint :</t>
  </si>
  <si>
    <t>ออกแบบหน้า Payment Success Page</t>
  </si>
  <si>
    <t>Bonus) As a user, I want an evidence to confirm that the payment is successful.</t>
  </si>
  <si>
    <t>ตรวจสอบว่า payment สำเร็จจริงก่อนแสดงผล</t>
  </si>
  <si>
    <t>สร้างระบบ generate ใบเสร็จ</t>
  </si>
  <si>
    <t>สร้างหน้า Report Driver Behavior Form</t>
  </si>
  <si>
    <t>เชื่อม Trip History เข้ากับ Report</t>
  </si>
  <si>
    <t>สร้างหน้า Complaint Detail</t>
  </si>
  <si>
    <t>เพิ่ม Table payments ใน Database</t>
  </si>
  <si>
    <t>เพิ่มการยกเลิกการจองของฝั่งคนขับเมื่อผู้โดยสารส่งหลักฐานการโอนมาไม่ถูกต้อง</t>
  </si>
  <si>
    <t>แก้หน้าเว็บทั้งหมดให้เป็นภาษาไทย</t>
  </si>
  <si>
    <t>แก้ไขให้การอัปโหลดไฟล์ในส่วนของการ report สามารถอัปโหลดไฟล์เสียงและ pdf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</si>
</sst>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TH Sarabun New"/>
      <family val="2"/>
    </font>
    <font>
      <sz val="20"/>
      <color theme="1"/>
      <name val="TH Sarabun New"/>
      <family val="2"/>
    </font>
    <font>
      <b/>
      <sz val="20"/>
      <color rgb="FF000000"/>
      <name val="TH Sarabun New"/>
      <family val="2"/>
    </font>
    <font>
      <sz val="20"/>
      <color rgb="FF000000"/>
      <name val="TH Sarabun New"/>
      <family val="2"/>
    </font>
    <font>
      <b/>
      <sz val="20"/>
      <color theme="1"/>
      <name val="TH Sarabun New"/>
      <family val="2"/>
      <charset val="222"/>
    </font>
    <font>
      <b/>
      <sz val="20"/>
      <color theme="1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 sz="2000" b="1">
                <a:latin typeface="TH Sarabun New" panose="020B0500040200020003" pitchFamily="34" charset="-34"/>
                <a:cs typeface="TH Sarabun New" panose="020B0500040200020003" pitchFamily="34" charset="-34"/>
              </a:rPr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SprintBacklog!$Q$8</c:f>
              <c:strCache>
                <c:ptCount val="1"/>
                <c:pt idx="0">
                  <c:v>Remaining effort (Hour)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SprintBacklog!$R$7:$X$7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SprintBacklog!$R$8:$X$8</c:f>
              <c:numCache>
                <c:formatCode>General</c:formatCode>
                <c:ptCount val="7"/>
                <c:pt idx="0">
                  <c:v>24</c:v>
                </c:pt>
                <c:pt idx="1">
                  <c:v>46</c:v>
                </c:pt>
                <c:pt idx="2">
                  <c:v>63</c:v>
                </c:pt>
                <c:pt idx="3">
                  <c:v>59</c:v>
                </c:pt>
                <c:pt idx="4">
                  <c:v>49</c:v>
                </c:pt>
                <c:pt idx="5">
                  <c:v>53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A-4273-BBA2-F2F88E57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221472"/>
        <c:axId val="1734225312"/>
      </c:lineChart>
      <c:catAx>
        <c:axId val="173422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Day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5312"/>
        <c:crosses val="autoZero"/>
        <c:auto val="1"/>
        <c:lblAlgn val="ctr"/>
        <c:lblOffset val="100"/>
        <c:noMultiLvlLbl val="0"/>
      </c:catAx>
      <c:valAx>
        <c:axId val="17342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en-US" sz="1600" b="1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Estimated effort-hours remaining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2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10733</xdr:colOff>
      <xdr:row>8</xdr:row>
      <xdr:rowOff>383145</xdr:rowOff>
    </xdr:from>
    <xdr:to>
      <xdr:col>24</xdr:col>
      <xdr:colOff>11723</xdr:colOff>
      <xdr:row>17</xdr:row>
      <xdr:rowOff>386860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BC730-64BF-0571-D8C1-F72383DB3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X57"/>
  <sheetViews>
    <sheetView tabSelected="1" topLeftCell="A40" zoomScale="55" zoomScaleNormal="55" workbookViewId="0">
      <selection activeCell="D45" sqref="D45"/>
    </sheetView>
  </sheetViews>
  <sheetFormatPr defaultColWidth="8.7109375" defaultRowHeight="25.5"/>
  <cols>
    <col min="1" max="1" width="11.28515625" style="2" customWidth="1"/>
    <col min="2" max="2" width="36.7109375" style="2" customWidth="1"/>
    <col min="3" max="3" width="67.42578125" style="2" customWidth="1"/>
    <col min="4" max="4" width="29.7109375" style="2" customWidth="1"/>
    <col min="5" max="5" width="21.140625" style="2" customWidth="1"/>
    <col min="6" max="12" width="6.7109375" style="2" customWidth="1"/>
    <col min="13" max="13" width="21.140625" style="2" customWidth="1"/>
    <col min="14" max="15" width="6.7109375" style="2" customWidth="1"/>
    <col min="16" max="16" width="19.85546875" style="2" customWidth="1"/>
    <col min="17" max="17" width="31.85546875" style="2" customWidth="1"/>
    <col min="18" max="19" width="8.7109375" style="2" customWidth="1"/>
    <col min="20" max="16384" width="8.7109375" style="2"/>
  </cols>
  <sheetData>
    <row r="1" spans="1:24" ht="26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"/>
      <c r="O1" s="1"/>
      <c r="P1" s="1"/>
      <c r="Q1" s="1"/>
    </row>
    <row r="2" spans="1:24">
      <c r="A2" s="21" t="s">
        <v>6</v>
      </c>
      <c r="B2" s="21"/>
      <c r="C2" s="21"/>
      <c r="D2" s="3"/>
    </row>
    <row r="4" spans="1:24" ht="50.45" customHeight="1">
      <c r="A4" s="22" t="s">
        <v>1</v>
      </c>
      <c r="B4" s="22" t="s">
        <v>2</v>
      </c>
      <c r="C4" s="22" t="s">
        <v>3</v>
      </c>
      <c r="D4" s="22" t="s">
        <v>15</v>
      </c>
      <c r="E4" s="25" t="s">
        <v>4</v>
      </c>
      <c r="F4" s="20" t="s">
        <v>5</v>
      </c>
      <c r="G4" s="20"/>
      <c r="H4" s="20"/>
      <c r="I4" s="20"/>
      <c r="J4" s="20"/>
      <c r="K4" s="20"/>
      <c r="L4" s="20"/>
      <c r="M4" s="20" t="s">
        <v>14</v>
      </c>
      <c r="O4" s="4"/>
    </row>
    <row r="5" spans="1:24" ht="26.25">
      <c r="A5" s="24"/>
      <c r="B5" s="24"/>
      <c r="C5" s="24"/>
      <c r="D5" s="23"/>
      <c r="E5" s="26"/>
      <c r="F5" s="5">
        <v>1</v>
      </c>
      <c r="G5" s="5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20"/>
      <c r="O5" s="6"/>
    </row>
    <row r="6" spans="1:24" ht="30" customHeight="1">
      <c r="A6" s="16">
        <v>1</v>
      </c>
      <c r="B6" s="16" t="s">
        <v>41</v>
      </c>
      <c r="C6" s="7" t="s">
        <v>7</v>
      </c>
      <c r="D6" s="8" t="s">
        <v>17</v>
      </c>
      <c r="E6" s="8">
        <v>4</v>
      </c>
      <c r="F6" s="8">
        <v>4</v>
      </c>
      <c r="G6" s="8">
        <v>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f>SUM(F6:L6)</f>
        <v>8</v>
      </c>
      <c r="N6" s="4"/>
      <c r="O6" s="9"/>
      <c r="P6" s="12" t="s">
        <v>28</v>
      </c>
      <c r="Q6" s="12"/>
      <c r="R6" s="12"/>
      <c r="S6" s="12"/>
      <c r="T6" s="12"/>
      <c r="U6" s="12"/>
      <c r="V6" s="12"/>
      <c r="W6" s="12"/>
      <c r="X6" s="12"/>
    </row>
    <row r="7" spans="1:24" ht="51">
      <c r="A7" s="17"/>
      <c r="B7" s="17"/>
      <c r="C7" s="7" t="s">
        <v>8</v>
      </c>
      <c r="D7" s="8" t="s">
        <v>17</v>
      </c>
      <c r="E7" s="8">
        <v>10</v>
      </c>
      <c r="F7" s="8">
        <v>0</v>
      </c>
      <c r="G7" s="8">
        <v>0</v>
      </c>
      <c r="H7" s="8">
        <v>10</v>
      </c>
      <c r="I7" s="8">
        <v>10</v>
      </c>
      <c r="J7" s="8">
        <v>10</v>
      </c>
      <c r="K7" s="8">
        <v>0</v>
      </c>
      <c r="L7" s="8">
        <v>0</v>
      </c>
      <c r="M7" s="8">
        <f t="shared" ref="M7:M57" si="0">SUM(F7:L7)</f>
        <v>30</v>
      </c>
      <c r="N7" s="6"/>
      <c r="O7" s="9"/>
      <c r="P7" s="12" t="s">
        <v>50</v>
      </c>
      <c r="Q7" s="13" t="s">
        <v>30</v>
      </c>
      <c r="R7" s="11">
        <v>1</v>
      </c>
      <c r="S7" s="11">
        <v>2</v>
      </c>
      <c r="T7" s="11">
        <v>3</v>
      </c>
      <c r="U7" s="11">
        <v>4</v>
      </c>
      <c r="V7" s="11">
        <v>5</v>
      </c>
      <c r="W7" s="11">
        <v>6</v>
      </c>
      <c r="X7" s="11">
        <v>7</v>
      </c>
    </row>
    <row r="8" spans="1:24" ht="51">
      <c r="A8" s="17"/>
      <c r="B8" s="17"/>
      <c r="C8" s="7" t="s">
        <v>9</v>
      </c>
      <c r="D8" s="8" t="s">
        <v>25</v>
      </c>
      <c r="E8" s="8">
        <v>4</v>
      </c>
      <c r="F8" s="8">
        <v>0</v>
      </c>
      <c r="G8" s="8">
        <v>0</v>
      </c>
      <c r="H8" s="8">
        <v>4</v>
      </c>
      <c r="I8" s="8">
        <v>4</v>
      </c>
      <c r="J8" s="8">
        <v>0</v>
      </c>
      <c r="K8" s="8">
        <v>0</v>
      </c>
      <c r="L8" s="8">
        <v>0</v>
      </c>
      <c r="M8" s="8">
        <f t="shared" si="0"/>
        <v>8</v>
      </c>
      <c r="N8" s="9"/>
      <c r="O8" s="9"/>
      <c r="P8" s="12"/>
      <c r="Q8" s="14" t="s">
        <v>29</v>
      </c>
      <c r="R8" s="11">
        <v>24</v>
      </c>
      <c r="S8" s="11">
        <v>46</v>
      </c>
      <c r="T8" s="11">
        <v>63</v>
      </c>
      <c r="U8" s="11">
        <v>59</v>
      </c>
      <c r="V8" s="11">
        <v>49</v>
      </c>
      <c r="W8" s="11">
        <v>53</v>
      </c>
      <c r="X8" s="11">
        <v>16</v>
      </c>
    </row>
    <row r="9" spans="1:24" ht="51">
      <c r="A9" s="17"/>
      <c r="B9" s="17"/>
      <c r="C9" s="7" t="s">
        <v>10</v>
      </c>
      <c r="D9" s="8" t="s">
        <v>24</v>
      </c>
      <c r="E9" s="8">
        <v>6</v>
      </c>
      <c r="F9" s="8">
        <v>6</v>
      </c>
      <c r="G9" s="8">
        <v>6</v>
      </c>
      <c r="H9" s="8">
        <v>6</v>
      </c>
      <c r="I9" s="8">
        <v>0</v>
      </c>
      <c r="J9" s="8">
        <v>0</v>
      </c>
      <c r="K9" s="8">
        <v>0</v>
      </c>
      <c r="L9" s="8">
        <v>0</v>
      </c>
      <c r="M9" s="8">
        <f t="shared" si="0"/>
        <v>18</v>
      </c>
      <c r="N9" s="9"/>
      <c r="O9" s="9"/>
    </row>
    <row r="10" spans="1:24" ht="51">
      <c r="A10" s="17"/>
      <c r="B10" s="17"/>
      <c r="C10" s="7" t="s">
        <v>49</v>
      </c>
      <c r="D10" s="8" t="s">
        <v>23</v>
      </c>
      <c r="E10" s="8">
        <v>5</v>
      </c>
      <c r="F10" s="8">
        <v>5</v>
      </c>
      <c r="G10" s="8">
        <v>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f t="shared" si="0"/>
        <v>10</v>
      </c>
      <c r="N10" s="9"/>
      <c r="O10" s="9"/>
    </row>
    <row r="11" spans="1:24" ht="51">
      <c r="A11" s="17"/>
      <c r="B11" s="17"/>
      <c r="C11" s="7" t="s">
        <v>11</v>
      </c>
      <c r="D11" s="8" t="s">
        <v>23</v>
      </c>
      <c r="E11" s="8">
        <v>4</v>
      </c>
      <c r="F11" s="8">
        <v>0</v>
      </c>
      <c r="G11" s="8">
        <v>0</v>
      </c>
      <c r="H11" s="8">
        <v>4</v>
      </c>
      <c r="I11" s="8">
        <v>4</v>
      </c>
      <c r="J11" s="8">
        <v>0</v>
      </c>
      <c r="K11" s="8">
        <v>0</v>
      </c>
      <c r="L11" s="8">
        <v>0</v>
      </c>
      <c r="M11" s="8">
        <f t="shared" si="0"/>
        <v>8</v>
      </c>
      <c r="N11" s="6"/>
      <c r="O11" s="9"/>
    </row>
    <row r="12" spans="1:24" ht="51">
      <c r="A12" s="17"/>
      <c r="B12" s="17"/>
      <c r="C12" s="7" t="s">
        <v>12</v>
      </c>
      <c r="D12" s="8" t="s">
        <v>25</v>
      </c>
      <c r="E12" s="8">
        <v>3</v>
      </c>
      <c r="F12" s="8">
        <v>0</v>
      </c>
      <c r="G12" s="8">
        <v>0</v>
      </c>
      <c r="H12" s="8">
        <v>3</v>
      </c>
      <c r="I12" s="8">
        <v>0</v>
      </c>
      <c r="J12" s="8">
        <v>0</v>
      </c>
      <c r="K12" s="8">
        <v>0</v>
      </c>
      <c r="L12" s="8">
        <v>0</v>
      </c>
      <c r="M12" s="8">
        <f t="shared" si="0"/>
        <v>3</v>
      </c>
      <c r="N12" s="9"/>
      <c r="O12" s="9"/>
    </row>
    <row r="13" spans="1:24" ht="51">
      <c r="A13" s="17"/>
      <c r="B13" s="17"/>
      <c r="C13" s="7" t="s">
        <v>27</v>
      </c>
      <c r="D13" s="8" t="s">
        <v>18</v>
      </c>
      <c r="E13" s="8">
        <v>3</v>
      </c>
      <c r="F13" s="8">
        <v>0</v>
      </c>
      <c r="G13" s="8">
        <v>0</v>
      </c>
      <c r="H13" s="8">
        <v>0</v>
      </c>
      <c r="I13" s="8">
        <v>3</v>
      </c>
      <c r="J13" s="8">
        <v>3</v>
      </c>
      <c r="K13" s="8">
        <v>3</v>
      </c>
      <c r="L13" s="8">
        <v>0</v>
      </c>
      <c r="M13" s="8">
        <f t="shared" si="0"/>
        <v>9</v>
      </c>
      <c r="N13" s="9"/>
      <c r="O13" s="9"/>
    </row>
    <row r="14" spans="1:24" ht="51">
      <c r="A14" s="17"/>
      <c r="B14" s="17"/>
      <c r="C14" s="7" t="s">
        <v>13</v>
      </c>
      <c r="D14" s="8" t="s">
        <v>17</v>
      </c>
      <c r="E14" s="8">
        <v>4</v>
      </c>
      <c r="F14" s="8">
        <v>0</v>
      </c>
      <c r="G14" s="8">
        <v>0</v>
      </c>
      <c r="H14" s="8">
        <v>0</v>
      </c>
      <c r="I14" s="8">
        <v>0</v>
      </c>
      <c r="J14" s="8">
        <v>4</v>
      </c>
      <c r="K14" s="8">
        <v>4</v>
      </c>
      <c r="L14" s="8">
        <v>0</v>
      </c>
      <c r="M14" s="8">
        <f t="shared" si="0"/>
        <v>8</v>
      </c>
      <c r="N14" s="9"/>
      <c r="O14" s="9"/>
    </row>
    <row r="15" spans="1:24" ht="51">
      <c r="A15" s="17"/>
      <c r="B15" s="17"/>
      <c r="C15" s="7" t="s">
        <v>19</v>
      </c>
      <c r="D15" s="8" t="s">
        <v>20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4</v>
      </c>
      <c r="L15" s="8">
        <v>0</v>
      </c>
      <c r="M15" s="8">
        <f t="shared" si="0"/>
        <v>4</v>
      </c>
      <c r="N15" s="6"/>
      <c r="O15" s="9"/>
    </row>
    <row r="16" spans="1:24" ht="30" customHeight="1">
      <c r="A16" s="17"/>
      <c r="B16" s="17"/>
      <c r="C16" s="7" t="s">
        <v>21</v>
      </c>
      <c r="D16" s="8" t="s">
        <v>20</v>
      </c>
      <c r="E16" s="8">
        <v>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3</v>
      </c>
      <c r="L16" s="8">
        <v>0</v>
      </c>
      <c r="M16" s="8">
        <f t="shared" si="0"/>
        <v>3</v>
      </c>
      <c r="N16" s="9"/>
      <c r="O16" s="9"/>
    </row>
    <row r="17" spans="1:15" ht="51">
      <c r="A17" s="17"/>
      <c r="B17" s="17"/>
      <c r="C17" s="10" t="s">
        <v>16</v>
      </c>
      <c r="D17" s="8" t="s">
        <v>22</v>
      </c>
      <c r="E17" s="8">
        <v>8</v>
      </c>
      <c r="F17" s="8">
        <v>0</v>
      </c>
      <c r="G17" s="8">
        <v>0</v>
      </c>
      <c r="H17" s="8">
        <v>0</v>
      </c>
      <c r="I17" s="8">
        <v>0</v>
      </c>
      <c r="J17" s="8">
        <v>8</v>
      </c>
      <c r="K17" s="8">
        <v>8</v>
      </c>
      <c r="L17" s="8">
        <v>0</v>
      </c>
      <c r="M17" s="8">
        <f t="shared" si="0"/>
        <v>16</v>
      </c>
      <c r="N17" s="9"/>
      <c r="O17" s="9"/>
    </row>
    <row r="18" spans="1:15" ht="51">
      <c r="A18" s="18"/>
      <c r="B18" s="18"/>
      <c r="C18" s="10" t="s">
        <v>26</v>
      </c>
      <c r="D18" s="8" t="s">
        <v>22</v>
      </c>
      <c r="E18" s="8">
        <v>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f t="shared" si="0"/>
        <v>2</v>
      </c>
      <c r="N18" s="9"/>
      <c r="O18" s="9"/>
    </row>
    <row r="19" spans="1:15" ht="51">
      <c r="A19" s="16">
        <v>2</v>
      </c>
      <c r="B19" s="16" t="s">
        <v>42</v>
      </c>
      <c r="C19" s="7" t="s">
        <v>31</v>
      </c>
      <c r="D19" s="8" t="s">
        <v>20</v>
      </c>
      <c r="E19" s="8">
        <v>4</v>
      </c>
      <c r="F19" s="8">
        <v>0</v>
      </c>
      <c r="G19" s="8">
        <v>2</v>
      </c>
      <c r="H19" s="8">
        <v>2</v>
      </c>
      <c r="I19" s="8">
        <v>2</v>
      </c>
      <c r="J19" s="8">
        <v>0</v>
      </c>
      <c r="K19" s="8">
        <v>0</v>
      </c>
      <c r="L19" s="8">
        <v>0</v>
      </c>
      <c r="M19" s="8">
        <f t="shared" si="0"/>
        <v>6</v>
      </c>
      <c r="N19" s="9"/>
      <c r="O19" s="9"/>
    </row>
    <row r="20" spans="1:15" ht="76.5">
      <c r="A20" s="17"/>
      <c r="B20" s="17"/>
      <c r="C20" s="7" t="s">
        <v>59</v>
      </c>
      <c r="D20" s="8" t="s">
        <v>22</v>
      </c>
      <c r="E20" s="8">
        <v>10</v>
      </c>
      <c r="F20" s="8">
        <v>0</v>
      </c>
      <c r="G20" s="8">
        <v>4</v>
      </c>
      <c r="H20" s="8">
        <v>4</v>
      </c>
      <c r="I20" s="8">
        <v>4</v>
      </c>
      <c r="J20" s="8">
        <v>0</v>
      </c>
      <c r="K20" s="8">
        <v>0</v>
      </c>
      <c r="L20" s="8">
        <v>0</v>
      </c>
      <c r="M20" s="8">
        <f t="shared" si="0"/>
        <v>12</v>
      </c>
      <c r="N20" s="9"/>
      <c r="O20" s="9"/>
    </row>
    <row r="21" spans="1:15" ht="51">
      <c r="A21" s="17"/>
      <c r="B21" s="17"/>
      <c r="C21" s="7" t="s">
        <v>32</v>
      </c>
      <c r="D21" s="8" t="s">
        <v>20</v>
      </c>
      <c r="E21" s="8">
        <v>4</v>
      </c>
      <c r="F21" s="8">
        <v>0</v>
      </c>
      <c r="G21" s="8">
        <v>0</v>
      </c>
      <c r="H21" s="8">
        <v>0</v>
      </c>
      <c r="I21" s="8">
        <v>0</v>
      </c>
      <c r="J21" s="8">
        <v>2</v>
      </c>
      <c r="K21" s="8">
        <v>2</v>
      </c>
      <c r="L21" s="8">
        <v>0</v>
      </c>
      <c r="M21" s="8">
        <f t="shared" si="0"/>
        <v>4</v>
      </c>
      <c r="N21" s="9"/>
      <c r="O21" s="9"/>
    </row>
    <row r="22" spans="1:15" ht="51">
      <c r="A22" s="17"/>
      <c r="B22" s="17"/>
      <c r="C22" s="7" t="s">
        <v>33</v>
      </c>
      <c r="D22" s="8" t="s">
        <v>17</v>
      </c>
      <c r="E22" s="8">
        <v>3</v>
      </c>
      <c r="F22" s="8">
        <v>0</v>
      </c>
      <c r="G22" s="8">
        <v>0</v>
      </c>
      <c r="H22" s="8">
        <v>0</v>
      </c>
      <c r="I22" s="8">
        <v>0</v>
      </c>
      <c r="J22" s="8">
        <v>2</v>
      </c>
      <c r="K22" s="8">
        <v>2</v>
      </c>
      <c r="L22" s="8">
        <v>0</v>
      </c>
      <c r="M22" s="8">
        <f t="shared" si="0"/>
        <v>4</v>
      </c>
      <c r="N22" s="6"/>
      <c r="O22" s="9"/>
    </row>
    <row r="23" spans="1:15" ht="51">
      <c r="A23" s="17"/>
      <c r="B23" s="17"/>
      <c r="C23" s="7" t="s">
        <v>34</v>
      </c>
      <c r="D23" s="8" t="s">
        <v>17</v>
      </c>
      <c r="E23" s="8">
        <v>4</v>
      </c>
      <c r="F23" s="8">
        <v>0</v>
      </c>
      <c r="G23" s="8">
        <v>0</v>
      </c>
      <c r="H23" s="8">
        <v>0</v>
      </c>
      <c r="I23" s="8">
        <v>0</v>
      </c>
      <c r="J23" s="8">
        <v>2</v>
      </c>
      <c r="K23" s="8">
        <v>2</v>
      </c>
      <c r="L23" s="8">
        <v>0</v>
      </c>
      <c r="M23" s="8">
        <f t="shared" si="0"/>
        <v>4</v>
      </c>
      <c r="N23" s="6"/>
      <c r="O23" s="9"/>
    </row>
    <row r="24" spans="1:15" ht="30.4" customHeight="1">
      <c r="A24" s="17"/>
      <c r="B24" s="17"/>
      <c r="C24" s="7" t="s">
        <v>36</v>
      </c>
      <c r="D24" s="8" t="s">
        <v>25</v>
      </c>
      <c r="E24" s="8">
        <v>3</v>
      </c>
      <c r="F24" s="8">
        <v>0</v>
      </c>
      <c r="G24" s="8">
        <v>0</v>
      </c>
      <c r="H24" s="8">
        <v>2</v>
      </c>
      <c r="I24" s="8">
        <v>2</v>
      </c>
      <c r="J24" s="8">
        <v>0</v>
      </c>
      <c r="K24" s="8">
        <v>0</v>
      </c>
      <c r="L24" s="8">
        <v>0</v>
      </c>
      <c r="M24" s="8">
        <f t="shared" si="0"/>
        <v>4</v>
      </c>
      <c r="N24" s="9"/>
      <c r="O24" s="9"/>
    </row>
    <row r="25" spans="1:15" ht="51">
      <c r="A25" s="17"/>
      <c r="B25" s="17"/>
      <c r="C25" s="7" t="s">
        <v>35</v>
      </c>
      <c r="D25" s="8" t="s">
        <v>17</v>
      </c>
      <c r="E25" s="8">
        <v>3</v>
      </c>
      <c r="F25" s="8">
        <v>0</v>
      </c>
      <c r="G25" s="8">
        <v>0</v>
      </c>
      <c r="H25" s="8">
        <v>0</v>
      </c>
      <c r="I25" s="8">
        <v>2</v>
      </c>
      <c r="J25" s="8">
        <v>2</v>
      </c>
      <c r="K25" s="8">
        <v>2</v>
      </c>
      <c r="L25" s="8">
        <v>0</v>
      </c>
      <c r="M25" s="8">
        <f t="shared" si="0"/>
        <v>6</v>
      </c>
      <c r="N25" s="6"/>
      <c r="O25" s="9"/>
    </row>
    <row r="26" spans="1:15" ht="51">
      <c r="A26" s="17"/>
      <c r="B26" s="17"/>
      <c r="C26" s="7" t="s">
        <v>37</v>
      </c>
      <c r="D26" s="8" t="s">
        <v>18</v>
      </c>
      <c r="E26" s="8">
        <v>4</v>
      </c>
      <c r="F26" s="8">
        <v>0</v>
      </c>
      <c r="G26" s="8">
        <v>2</v>
      </c>
      <c r="H26" s="8">
        <v>2</v>
      </c>
      <c r="I26" s="8">
        <v>2</v>
      </c>
      <c r="J26" s="8">
        <v>2</v>
      </c>
      <c r="K26" s="8">
        <v>0</v>
      </c>
      <c r="L26" s="8">
        <v>0</v>
      </c>
      <c r="M26" s="8">
        <f t="shared" si="0"/>
        <v>8</v>
      </c>
      <c r="N26" s="9"/>
      <c r="O26" s="9"/>
    </row>
    <row r="27" spans="1:15" ht="51">
      <c r="A27" s="17"/>
      <c r="B27" s="17"/>
      <c r="C27" s="7" t="s">
        <v>38</v>
      </c>
      <c r="D27" s="8" t="s">
        <v>24</v>
      </c>
      <c r="E27" s="8">
        <v>2</v>
      </c>
      <c r="F27" s="8">
        <v>0</v>
      </c>
      <c r="G27" s="8">
        <v>0</v>
      </c>
      <c r="H27" s="8">
        <v>0</v>
      </c>
      <c r="I27" s="8">
        <v>2</v>
      </c>
      <c r="J27" s="8">
        <v>0</v>
      </c>
      <c r="K27" s="8">
        <v>0</v>
      </c>
      <c r="L27" s="8">
        <v>0</v>
      </c>
      <c r="M27" s="8">
        <f t="shared" si="0"/>
        <v>2</v>
      </c>
      <c r="N27" s="9"/>
      <c r="O27" s="9"/>
    </row>
    <row r="28" spans="1:15" ht="51">
      <c r="A28" s="17"/>
      <c r="B28" s="17"/>
      <c r="C28" s="7" t="s">
        <v>39</v>
      </c>
      <c r="D28" s="8" t="s">
        <v>20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</v>
      </c>
      <c r="M28" s="8">
        <f t="shared" si="0"/>
        <v>2</v>
      </c>
      <c r="N28" s="9"/>
      <c r="O28" s="9"/>
    </row>
    <row r="29" spans="1:15" ht="51">
      <c r="A29" s="17"/>
      <c r="B29" s="17"/>
      <c r="C29" s="7" t="s">
        <v>13</v>
      </c>
      <c r="D29" s="8" t="s">
        <v>25</v>
      </c>
      <c r="E29" s="8">
        <v>3</v>
      </c>
      <c r="F29" s="8">
        <v>0</v>
      </c>
      <c r="G29" s="8">
        <v>0</v>
      </c>
      <c r="H29" s="8">
        <v>0</v>
      </c>
      <c r="I29" s="8">
        <v>0</v>
      </c>
      <c r="J29" s="8">
        <v>2</v>
      </c>
      <c r="K29" s="8">
        <v>2</v>
      </c>
      <c r="L29" s="8">
        <v>0</v>
      </c>
      <c r="M29" s="8">
        <f t="shared" si="0"/>
        <v>4</v>
      </c>
      <c r="N29" s="9"/>
      <c r="O29" s="9"/>
    </row>
    <row r="30" spans="1:15" ht="51">
      <c r="A30" s="17"/>
      <c r="B30" s="17"/>
      <c r="C30" s="7" t="s">
        <v>19</v>
      </c>
      <c r="D30" s="8" t="s">
        <v>23</v>
      </c>
      <c r="E30" s="8">
        <v>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2</v>
      </c>
      <c r="L30" s="8">
        <v>2</v>
      </c>
      <c r="M30" s="8">
        <f t="shared" si="0"/>
        <v>4</v>
      </c>
      <c r="N30" s="9"/>
    </row>
    <row r="31" spans="1:15" ht="51">
      <c r="A31" s="18"/>
      <c r="B31" s="18"/>
      <c r="C31" s="7" t="s">
        <v>40</v>
      </c>
      <c r="D31" s="8" t="s">
        <v>22</v>
      </c>
      <c r="E31" s="8">
        <v>3</v>
      </c>
      <c r="F31" s="8">
        <v>0</v>
      </c>
      <c r="G31" s="8">
        <v>0</v>
      </c>
      <c r="H31" s="8">
        <v>0</v>
      </c>
      <c r="I31" s="8">
        <v>2</v>
      </c>
      <c r="J31" s="8">
        <v>2</v>
      </c>
      <c r="K31" s="8">
        <v>2</v>
      </c>
      <c r="L31" s="8">
        <v>0</v>
      </c>
      <c r="M31" s="8">
        <f t="shared" si="0"/>
        <v>6</v>
      </c>
      <c r="N31" s="9"/>
    </row>
    <row r="32" spans="1:15" ht="76.5">
      <c r="A32" s="16">
        <v>2</v>
      </c>
      <c r="B32" s="16" t="s">
        <v>43</v>
      </c>
      <c r="C32" s="7" t="s">
        <v>61</v>
      </c>
      <c r="D32" s="8" t="s">
        <v>22</v>
      </c>
      <c r="E32" s="8">
        <v>3</v>
      </c>
      <c r="F32" s="8">
        <v>0</v>
      </c>
      <c r="G32" s="8">
        <v>2</v>
      </c>
      <c r="H32" s="8">
        <v>2</v>
      </c>
      <c r="I32" s="8">
        <v>0</v>
      </c>
      <c r="J32" s="8">
        <v>0</v>
      </c>
      <c r="K32" s="8">
        <v>0</v>
      </c>
      <c r="L32" s="8">
        <v>0</v>
      </c>
      <c r="M32" s="8">
        <f t="shared" si="0"/>
        <v>4</v>
      </c>
    </row>
    <row r="33" spans="1:13" ht="51">
      <c r="A33" s="17"/>
      <c r="B33" s="17"/>
      <c r="C33" s="7" t="s">
        <v>44</v>
      </c>
      <c r="D33" s="8" t="s">
        <v>20</v>
      </c>
      <c r="E33" s="8">
        <v>4</v>
      </c>
      <c r="F33" s="8">
        <v>0</v>
      </c>
      <c r="G33" s="8">
        <v>2</v>
      </c>
      <c r="H33" s="8">
        <v>2</v>
      </c>
      <c r="I33" s="8">
        <v>2</v>
      </c>
      <c r="J33" s="8">
        <v>0</v>
      </c>
      <c r="K33" s="8">
        <v>0</v>
      </c>
      <c r="L33" s="8">
        <v>0</v>
      </c>
      <c r="M33" s="8">
        <f t="shared" si="0"/>
        <v>6</v>
      </c>
    </row>
    <row r="34" spans="1:13" ht="51">
      <c r="A34" s="17"/>
      <c r="B34" s="17"/>
      <c r="C34" s="7" t="s">
        <v>60</v>
      </c>
      <c r="D34" s="8" t="s">
        <v>22</v>
      </c>
      <c r="E34" s="8">
        <v>3</v>
      </c>
      <c r="F34" s="8">
        <v>0</v>
      </c>
      <c r="G34" s="8">
        <v>0</v>
      </c>
      <c r="H34" s="8">
        <v>2</v>
      </c>
      <c r="I34" s="8">
        <v>0</v>
      </c>
      <c r="J34" s="8">
        <v>0</v>
      </c>
      <c r="K34" s="8">
        <v>0</v>
      </c>
      <c r="L34" s="8">
        <v>0</v>
      </c>
      <c r="M34" s="8">
        <f t="shared" si="0"/>
        <v>2</v>
      </c>
    </row>
    <row r="35" spans="1:13" ht="51">
      <c r="A35" s="17"/>
      <c r="B35" s="17"/>
      <c r="C35" s="7" t="s">
        <v>45</v>
      </c>
      <c r="D35" s="8" t="s">
        <v>17</v>
      </c>
      <c r="E35" s="8">
        <v>4</v>
      </c>
      <c r="F35" s="8">
        <v>0</v>
      </c>
      <c r="G35" s="8">
        <v>0</v>
      </c>
      <c r="H35" s="8">
        <v>4</v>
      </c>
      <c r="I35" s="8">
        <v>4</v>
      </c>
      <c r="J35" s="8">
        <v>0</v>
      </c>
      <c r="K35" s="8">
        <v>0</v>
      </c>
      <c r="L35" s="8">
        <v>0</v>
      </c>
      <c r="M35" s="8">
        <f t="shared" si="0"/>
        <v>8</v>
      </c>
    </row>
    <row r="36" spans="1:13" ht="51">
      <c r="A36" s="17"/>
      <c r="B36" s="17"/>
      <c r="C36" s="7" t="s">
        <v>46</v>
      </c>
      <c r="D36" s="8" t="s">
        <v>25</v>
      </c>
      <c r="E36" s="8">
        <v>2</v>
      </c>
      <c r="F36" s="8">
        <v>0</v>
      </c>
      <c r="G36" s="8">
        <v>0</v>
      </c>
      <c r="H36" s="8">
        <v>2</v>
      </c>
      <c r="I36" s="8">
        <v>2</v>
      </c>
      <c r="J36" s="8">
        <v>0</v>
      </c>
      <c r="K36" s="8">
        <v>0</v>
      </c>
      <c r="L36" s="8">
        <v>0</v>
      </c>
      <c r="M36" s="8">
        <f t="shared" si="0"/>
        <v>4</v>
      </c>
    </row>
    <row r="37" spans="1:13" ht="51">
      <c r="A37" s="17"/>
      <c r="B37" s="17"/>
      <c r="C37" s="15" t="s">
        <v>47</v>
      </c>
      <c r="D37" s="8" t="s">
        <v>17</v>
      </c>
      <c r="E37" s="8">
        <v>4</v>
      </c>
      <c r="F37" s="8">
        <v>0</v>
      </c>
      <c r="G37" s="8">
        <v>2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f t="shared" si="0"/>
        <v>4</v>
      </c>
    </row>
    <row r="38" spans="1:13" ht="51">
      <c r="A38" s="17"/>
      <c r="B38" s="17"/>
      <c r="C38" s="7" t="s">
        <v>48</v>
      </c>
      <c r="D38" s="8" t="s">
        <v>23</v>
      </c>
      <c r="E38" s="8">
        <v>6</v>
      </c>
      <c r="F38" s="8">
        <v>0</v>
      </c>
      <c r="G38" s="8">
        <v>4</v>
      </c>
      <c r="H38" s="8">
        <v>4</v>
      </c>
      <c r="I38" s="8">
        <v>0</v>
      </c>
      <c r="J38" s="8">
        <v>0</v>
      </c>
      <c r="K38" s="8">
        <v>0</v>
      </c>
      <c r="L38" s="8">
        <v>0</v>
      </c>
      <c r="M38" s="8">
        <f t="shared" si="0"/>
        <v>8</v>
      </c>
    </row>
    <row r="39" spans="1:13" ht="51">
      <c r="A39" s="17"/>
      <c r="B39" s="17"/>
      <c r="C39" s="7" t="s">
        <v>37</v>
      </c>
      <c r="D39" s="8" t="s">
        <v>18</v>
      </c>
      <c r="E39" s="8">
        <v>4</v>
      </c>
      <c r="F39" s="8">
        <v>0</v>
      </c>
      <c r="G39" s="8">
        <v>0</v>
      </c>
      <c r="H39" s="8">
        <v>0</v>
      </c>
      <c r="I39" s="8">
        <v>4</v>
      </c>
      <c r="J39" s="8">
        <v>4</v>
      </c>
      <c r="K39" s="8">
        <v>0</v>
      </c>
      <c r="L39" s="8">
        <v>0</v>
      </c>
      <c r="M39" s="8">
        <f t="shared" si="0"/>
        <v>8</v>
      </c>
    </row>
    <row r="40" spans="1:13" ht="51">
      <c r="A40" s="17"/>
      <c r="B40" s="17"/>
      <c r="C40" s="7" t="s">
        <v>38</v>
      </c>
      <c r="D40" s="8" t="s">
        <v>24</v>
      </c>
      <c r="E40" s="8">
        <v>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2</v>
      </c>
      <c r="L40" s="8">
        <v>0</v>
      </c>
      <c r="M40" s="8">
        <f t="shared" si="0"/>
        <v>2</v>
      </c>
    </row>
    <row r="41" spans="1:13" ht="51">
      <c r="A41" s="17"/>
      <c r="B41" s="17"/>
      <c r="C41" s="7" t="s">
        <v>39</v>
      </c>
      <c r="D41" s="8" t="s">
        <v>20</v>
      </c>
      <c r="E41" s="8">
        <v>1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8">
        <v>0</v>
      </c>
      <c r="M41" s="8">
        <f t="shared" si="0"/>
        <v>1</v>
      </c>
    </row>
    <row r="42" spans="1:13" ht="51">
      <c r="A42" s="17"/>
      <c r="B42" s="17"/>
      <c r="C42" s="7" t="s">
        <v>13</v>
      </c>
      <c r="D42" s="8" t="s">
        <v>25</v>
      </c>
      <c r="E42" s="8">
        <v>3</v>
      </c>
      <c r="F42" s="8">
        <v>0</v>
      </c>
      <c r="G42" s="8">
        <v>0</v>
      </c>
      <c r="H42" s="8">
        <v>0</v>
      </c>
      <c r="I42" s="8">
        <v>2</v>
      </c>
      <c r="J42" s="8">
        <v>2</v>
      </c>
      <c r="K42" s="8">
        <v>0</v>
      </c>
      <c r="L42" s="8">
        <v>0</v>
      </c>
      <c r="M42" s="8">
        <f t="shared" si="0"/>
        <v>4</v>
      </c>
    </row>
    <row r="43" spans="1:13" ht="51">
      <c r="A43" s="17"/>
      <c r="B43" s="17"/>
      <c r="C43" s="7" t="s">
        <v>19</v>
      </c>
      <c r="D43" s="8" t="s">
        <v>23</v>
      </c>
      <c r="E43" s="8">
        <v>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2</v>
      </c>
      <c r="L43" s="8">
        <v>0</v>
      </c>
      <c r="M43" s="8">
        <f t="shared" si="0"/>
        <v>2</v>
      </c>
    </row>
    <row r="44" spans="1:13" ht="51">
      <c r="A44" s="18"/>
      <c r="B44" s="18"/>
      <c r="C44" s="7" t="s">
        <v>40</v>
      </c>
      <c r="D44" s="8" t="s">
        <v>17</v>
      </c>
      <c r="E44" s="8">
        <v>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2</v>
      </c>
      <c r="L44" s="8">
        <v>2</v>
      </c>
      <c r="M44" s="8">
        <f t="shared" si="0"/>
        <v>4</v>
      </c>
    </row>
    <row r="45" spans="1:13" ht="51">
      <c r="A45" s="16">
        <v>3</v>
      </c>
      <c r="B45" s="16" t="s">
        <v>52</v>
      </c>
      <c r="C45" s="7" t="s">
        <v>51</v>
      </c>
      <c r="D45" s="8" t="s">
        <v>17</v>
      </c>
      <c r="E45" s="8">
        <v>6</v>
      </c>
      <c r="F45" s="8">
        <v>2</v>
      </c>
      <c r="G45" s="8">
        <v>2</v>
      </c>
      <c r="H45" s="8">
        <v>0</v>
      </c>
      <c r="I45" s="8">
        <v>2</v>
      </c>
      <c r="J45" s="8">
        <v>0</v>
      </c>
      <c r="K45" s="8">
        <v>0</v>
      </c>
      <c r="L45" s="8">
        <v>0</v>
      </c>
      <c r="M45" s="8">
        <f t="shared" si="0"/>
        <v>6</v>
      </c>
    </row>
    <row r="46" spans="1:13" ht="51">
      <c r="A46" s="17"/>
      <c r="B46" s="17"/>
      <c r="C46" s="7" t="s">
        <v>53</v>
      </c>
      <c r="D46" s="8" t="s">
        <v>18</v>
      </c>
      <c r="E46" s="8">
        <v>3</v>
      </c>
      <c r="F46" s="8">
        <v>0</v>
      </c>
      <c r="G46" s="8">
        <v>0</v>
      </c>
      <c r="H46" s="8">
        <v>2</v>
      </c>
      <c r="I46" s="8">
        <v>2</v>
      </c>
      <c r="J46" s="8">
        <v>0</v>
      </c>
      <c r="K46" s="8">
        <v>0</v>
      </c>
      <c r="L46" s="8">
        <v>0</v>
      </c>
      <c r="M46" s="8">
        <f t="shared" si="0"/>
        <v>4</v>
      </c>
    </row>
    <row r="47" spans="1:13" ht="51">
      <c r="A47" s="17"/>
      <c r="B47" s="17"/>
      <c r="C47" s="7" t="s">
        <v>54</v>
      </c>
      <c r="D47" s="8" t="s">
        <v>17</v>
      </c>
      <c r="E47" s="8">
        <v>4</v>
      </c>
      <c r="F47" s="8">
        <v>3</v>
      </c>
      <c r="G47" s="8">
        <v>3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f t="shared" si="0"/>
        <v>6</v>
      </c>
    </row>
    <row r="48" spans="1:13" ht="51">
      <c r="A48" s="17"/>
      <c r="B48" s="17"/>
      <c r="C48" s="7" t="s">
        <v>58</v>
      </c>
      <c r="D48" s="8" t="s">
        <v>22</v>
      </c>
      <c r="E48" s="8">
        <v>2</v>
      </c>
      <c r="F48" s="8">
        <v>2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f t="shared" si="0"/>
        <v>4</v>
      </c>
    </row>
    <row r="49" spans="1:13" ht="51">
      <c r="A49" s="17"/>
      <c r="B49" s="17"/>
      <c r="C49" s="7" t="s">
        <v>55</v>
      </c>
      <c r="D49" s="8" t="s">
        <v>17</v>
      </c>
      <c r="E49" s="8">
        <v>3</v>
      </c>
      <c r="F49" s="8">
        <v>2</v>
      </c>
      <c r="G49" s="8">
        <v>2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f t="shared" si="0"/>
        <v>4</v>
      </c>
    </row>
    <row r="50" spans="1:13" ht="51">
      <c r="A50" s="17"/>
      <c r="B50" s="17"/>
      <c r="C50" s="7" t="s">
        <v>56</v>
      </c>
      <c r="D50" s="8" t="s">
        <v>22</v>
      </c>
      <c r="E50" s="8">
        <v>2</v>
      </c>
      <c r="F50" s="8">
        <v>0</v>
      </c>
      <c r="G50" s="8">
        <v>0</v>
      </c>
      <c r="H50" s="8">
        <v>2</v>
      </c>
      <c r="I50" s="8">
        <v>2</v>
      </c>
      <c r="J50" s="8">
        <v>0</v>
      </c>
      <c r="K50" s="8">
        <v>0</v>
      </c>
      <c r="L50" s="8">
        <v>0</v>
      </c>
      <c r="M50" s="8">
        <f t="shared" si="0"/>
        <v>4</v>
      </c>
    </row>
    <row r="51" spans="1:13" ht="51">
      <c r="A51" s="17"/>
      <c r="B51" s="17"/>
      <c r="C51" s="2" t="s">
        <v>57</v>
      </c>
      <c r="D51" s="8" t="s">
        <v>25</v>
      </c>
      <c r="E51" s="8">
        <v>4</v>
      </c>
      <c r="F51" s="8">
        <v>0</v>
      </c>
      <c r="G51" s="8">
        <v>4</v>
      </c>
      <c r="H51" s="8">
        <v>4</v>
      </c>
      <c r="I51" s="8">
        <v>0</v>
      </c>
      <c r="J51" s="8">
        <v>0</v>
      </c>
      <c r="K51" s="8">
        <v>0</v>
      </c>
      <c r="L51" s="8">
        <v>0</v>
      </c>
      <c r="M51" s="8">
        <f t="shared" si="0"/>
        <v>8</v>
      </c>
    </row>
    <row r="52" spans="1:13" ht="51">
      <c r="A52" s="17"/>
      <c r="B52" s="17"/>
      <c r="C52" s="7" t="s">
        <v>37</v>
      </c>
      <c r="D52" s="8" t="s">
        <v>18</v>
      </c>
      <c r="E52" s="8">
        <v>6</v>
      </c>
      <c r="F52" s="8">
        <v>0</v>
      </c>
      <c r="G52" s="8">
        <v>0</v>
      </c>
      <c r="H52" s="8">
        <v>0</v>
      </c>
      <c r="I52" s="8">
        <v>2</v>
      </c>
      <c r="J52" s="8">
        <v>2</v>
      </c>
      <c r="K52" s="8">
        <v>2</v>
      </c>
      <c r="L52" s="8">
        <v>0</v>
      </c>
      <c r="M52" s="8">
        <f t="shared" si="0"/>
        <v>6</v>
      </c>
    </row>
    <row r="53" spans="1:13" ht="51">
      <c r="A53" s="17"/>
      <c r="B53" s="17"/>
      <c r="C53" s="7" t="s">
        <v>38</v>
      </c>
      <c r="D53" s="8" t="s">
        <v>24</v>
      </c>
      <c r="E53" s="8">
        <v>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</v>
      </c>
      <c r="M53" s="8">
        <f t="shared" si="0"/>
        <v>2</v>
      </c>
    </row>
    <row r="54" spans="1:13" ht="51">
      <c r="A54" s="17"/>
      <c r="B54" s="17"/>
      <c r="C54" s="7" t="s">
        <v>39</v>
      </c>
      <c r="D54" s="8" t="s">
        <v>20</v>
      </c>
      <c r="E54" s="8">
        <v>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2</v>
      </c>
      <c r="L54" s="8">
        <v>2</v>
      </c>
      <c r="M54" s="8">
        <f t="shared" si="0"/>
        <v>4</v>
      </c>
    </row>
    <row r="55" spans="1:13" ht="51">
      <c r="A55" s="17"/>
      <c r="B55" s="17"/>
      <c r="C55" s="7" t="s">
        <v>13</v>
      </c>
      <c r="D55" s="8" t="s">
        <v>25</v>
      </c>
      <c r="E55" s="8">
        <v>4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2</v>
      </c>
      <c r="L55" s="8">
        <v>2</v>
      </c>
      <c r="M55" s="8">
        <f t="shared" si="0"/>
        <v>6</v>
      </c>
    </row>
    <row r="56" spans="1:13" ht="51">
      <c r="A56" s="17"/>
      <c r="B56" s="17"/>
      <c r="C56" s="7" t="s">
        <v>19</v>
      </c>
      <c r="D56" s="8" t="s">
        <v>20</v>
      </c>
      <c r="E56" s="8">
        <v>2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2</v>
      </c>
      <c r="M56" s="8">
        <f t="shared" si="0"/>
        <v>2</v>
      </c>
    </row>
    <row r="57" spans="1:13" ht="51">
      <c r="A57" s="18"/>
      <c r="B57" s="18"/>
      <c r="C57" s="7" t="s">
        <v>40</v>
      </c>
      <c r="D57" s="8" t="s">
        <v>23</v>
      </c>
      <c r="E57" s="8">
        <v>3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2</v>
      </c>
      <c r="L57" s="8">
        <v>2</v>
      </c>
      <c r="M57" s="8">
        <f t="shared" si="0"/>
        <v>4</v>
      </c>
    </row>
  </sheetData>
  <mergeCells count="17">
    <mergeCell ref="A32:A44"/>
    <mergeCell ref="A45:A57"/>
    <mergeCell ref="B45:B57"/>
    <mergeCell ref="A1:M1"/>
    <mergeCell ref="M4:M5"/>
    <mergeCell ref="A2:C2"/>
    <mergeCell ref="D4:D5"/>
    <mergeCell ref="A4:A5"/>
    <mergeCell ref="B4:B5"/>
    <mergeCell ref="C4:C5"/>
    <mergeCell ref="E4:E5"/>
    <mergeCell ref="F4:L4"/>
    <mergeCell ref="B6:B18"/>
    <mergeCell ref="A6:A18"/>
    <mergeCell ref="B19:B31"/>
    <mergeCell ref="B32:B44"/>
    <mergeCell ref="A19:A31"/>
  </mergeCells>
  <pageMargins left="0.7" right="0.7" top="0.75" bottom="0.75" header="0.3" footer="0.3"/>
  <pageSetup orientation="portrait" r:id="rId1"/>
  <ignoredErrors>
    <ignoredError sqref="M6:M1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441749-180f-472a-84b7-042509af10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7DFDAC9921043980359E0B35BEECB" ma:contentTypeVersion="13" ma:contentTypeDescription="Create a new document." ma:contentTypeScope="" ma:versionID="e6bf73aab6ac31c255ae6ec978f383e2">
  <xsd:schema xmlns:xsd="http://www.w3.org/2001/XMLSchema" xmlns:xs="http://www.w3.org/2001/XMLSchema" xmlns:p="http://schemas.microsoft.com/office/2006/metadata/properties" xmlns:ns3="02441749-180f-472a-84b7-042509af1011" xmlns:ns4="d6b64657-fc4d-40d9-8355-6ec2aad1c1e3" targetNamespace="http://schemas.microsoft.com/office/2006/metadata/properties" ma:root="true" ma:fieldsID="0d391dbdef86b985f779fe321d5e4198" ns3:_="" ns4:_="">
    <xsd:import namespace="02441749-180f-472a-84b7-042509af1011"/>
    <xsd:import namespace="d6b64657-fc4d-40d9-8355-6ec2aad1c1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41749-180f-472a-84b7-042509af10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4657-fc4d-40d9-8355-6ec2aad1c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B97708-1342-4261-9FA3-ABF9D235CF2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d6b64657-fc4d-40d9-8355-6ec2aad1c1e3"/>
    <ds:schemaRef ds:uri="02441749-180f-472a-84b7-042509af1011"/>
  </ds:schemaRefs>
</ds:datastoreItem>
</file>

<file path=customXml/itemProps2.xml><?xml version="1.0" encoding="utf-8"?>
<ds:datastoreItem xmlns:ds="http://schemas.openxmlformats.org/officeDocument/2006/customXml" ds:itemID="{21C15166-DBD1-4D3D-ADB9-41C0D8EFA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084F7-E9B3-4AC4-A72B-7D43BD6A4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41749-180f-472a-84b7-042509af1011"/>
    <ds:schemaRef ds:uri="d6b64657-fc4d-40d9-8355-6ec2aad1c1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kong.kittipot@gmail.com</cp:lastModifiedBy>
  <cp:lastPrinted>2026-02-18T15:05:20Z</cp:lastPrinted>
  <dcterms:created xsi:type="dcterms:W3CDTF">2022-02-08T03:49:14Z</dcterms:created>
  <dcterms:modified xsi:type="dcterms:W3CDTF">2026-03-18T13:47:46Z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0x010100FB77DFDAC9921043980359E0B35BEECB</vt:lpwstr>
  </property>
</Properties>
</file>